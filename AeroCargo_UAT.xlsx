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fc7b40bac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Overview" sheetId="1" r:id="Rbeba7f9416084e9d"/>
    <x:sheet xmlns:r="http://schemas.openxmlformats.org/officeDocument/2006/relationships" name="UAT Cases" sheetId="2" r:id="Re9cfdd16bcaf4a90"/>
    <x:sheet xmlns:r="http://schemas.openxmlformats.org/officeDocument/2006/relationships" name="Test Data" sheetId="3" r:id="Rd79937a613f84599"/>
    <x:sheet xmlns:r="http://schemas.openxmlformats.org/officeDocument/2006/relationships" name="Defects" sheetId="4" r:id="Rf40f8d5c1b4d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%"/>
    <x:numFmt numFmtId="202" formatCode="0.0"/>
  </x:numFmts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bda550dcc4ad4" /><Relationship Type="http://schemas.openxmlformats.org/officeDocument/2006/relationships/theme" Target="/xl/theme/theme1.xml" Id="R37286784bc5343a5" /><Relationship Type="http://schemas.openxmlformats.org/officeDocument/2006/relationships/sharedStrings" Target="/xl/sharedStrings.xml" Id="R51b8d87b839941ee" /><Relationship Type="http://schemas.openxmlformats.org/officeDocument/2006/relationships/worksheet" Target="/xl/worksheets/sheet1.xml" Id="Rbeba7f9416084e9d" /><Relationship Type="http://schemas.openxmlformats.org/officeDocument/2006/relationships/worksheet" Target="/xl/worksheets/sheet2.xml" Id="Re9cfdd16bcaf4a90" /><Relationship Type="http://schemas.openxmlformats.org/officeDocument/2006/relationships/worksheet" Target="/xl/worksheets/sheet3.xml" Id="Rd79937a613f84599" /><Relationship Type="http://schemas.openxmlformats.org/officeDocument/2006/relationships/worksheet" Target="/xl/worksheets/sheet4.xml" Id="Rf40f8d5c1b4d43f5" /></Relationships>
</file>

<file path=xl/tables/table1.xml><?xml version="1.0" encoding="utf-8"?>
<x:table xmlns:x="http://schemas.openxmlformats.org/spreadsheetml/2006/main" id="1" name="UATCases" displayName="UATCases" ref="A5:N29" headerRowCount="1" totalsRowCount="0" totalsRowShown="0">
  <x:tableColumns count="14">
    <x:tableColumn id="1" name="UAT ID"/>
    <x:tableColumn id="2" name="Area"/>
    <x:tableColumn id="3" name="Business scenario"/>
    <x:tableColumn id="4" name="Priority"/>
    <x:tableColumn id="5" name="Preconditions / data"/>
    <x:tableColumn id="6" name="Test steps"/>
    <x:tableColumn id="7" name="Expected business result"/>
    <x:tableColumn id="8" name="Actual result"/>
    <x:tableColumn id="9" name="Status"/>
    <x:tableColumn id="10" name="Evidence / request ID"/>
    <x:tableColumn id="11" name="Defect ID"/>
    <x:tableColumn id="12" name="Tester"/>
    <x:tableColumn id="13" name="Execution date"/>
    <x:tableColumn id="14" name="Retest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Defects" displayName="UATDefects" ref="A5:L15" headerRowCount="1" totalsRowCount="0" totalsRowShown="0">
  <x:tableColumns count="12">
    <x:tableColumn id="1" name="Defect ID"/>
    <x:tableColumn id="2" name="UAT ID"/>
    <x:tableColumn id="3" name="Issue title"/>
    <x:tableColumn id="4" name="Reproduction steps"/>
    <x:tableColumn id="5" name="Expected result"/>
    <x:tableColumn id="6" name="Actual result"/>
    <x:tableColumn id="7" name="Severity"/>
    <x:tableColumn id="8" name="Status"/>
    <x:tableColumn id="9" name="Owner"/>
    <x:tableColumn id="10" name="Evidence"/>
    <x:tableColumn id="11" name="Retest result"/>
    <x:tableColumn id="12" name="Resolution / accepted exce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4ebb50476a4a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207782d069b430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AeroCargo user acceptance testing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2" customHeight="1">
      <x:c r="A4" s="8" t="str">
        <x:v>Execution summary</x:v>
      </x:c>
      <x:c r="B4" s="8" t="str">
        <x:v>Count</x:v>
      </x:c>
      <x:c r="C4" s="2"/>
      <x:c r="D4" s="2"/>
      <x:c r="E4" s="2"/>
      <x:c r="F4" s="2"/>
    </x:row>
    <x:row r="5">
      <x:c r="A5" s="2" t="str">
        <x:v>Total cases</x:v>
      </x:c>
      <x:c r="B5" s="2" t="n">
        <x:f>COUNTA('UAT Cases'!A6:A29)</x:f>
        <x:v>24</x:v>
      </x:c>
      <x:c r="C5" s="2"/>
      <x:c r="D5" s="2"/>
      <x:c r="E5" s="2"/>
      <x:c r="F5" s="2"/>
    </x:row>
    <x:row r="6">
      <x:c r="A6" s="2" t="str">
        <x:v>Pass</x:v>
      </x:c>
      <x:c r="B6" s="2" t="n">
        <x:f>COUNTIFS('UAT Cases'!I6:I29,A6)</x:f>
        <x:v>0</x:v>
      </x:c>
      <x:c r="C6" s="2"/>
      <x:c r="D6" s="2"/>
      <x:c r="E6" s="2"/>
      <x:c r="F6" s="2"/>
    </x:row>
    <x:row r="7">
      <x:c r="A7" s="2" t="str">
        <x:v>Fail</x:v>
      </x:c>
      <x:c r="B7" s="2" t="n">
        <x:f>COUNTIFS('UAT Cases'!I6:I29,A7)</x:f>
        <x:v>0</x:v>
      </x:c>
      <x:c r="C7" s="2"/>
      <x:c r="D7" s="2"/>
      <x:c r="E7" s="2"/>
      <x:c r="F7" s="2"/>
    </x:row>
    <x:row r="8">
      <x:c r="A8" s="2" t="str">
        <x:v>Blocked</x:v>
      </x:c>
      <x:c r="B8" s="2" t="n">
        <x:f>COUNTIFS('UAT Cases'!I6:I29,A8)</x:f>
        <x:v>0</x:v>
      </x:c>
      <x:c r="C8" s="2"/>
      <x:c r="D8" s="2"/>
      <x:c r="E8" s="2"/>
      <x:c r="F8" s="2"/>
    </x:row>
    <x:row r="9">
      <x:c r="A9" s="2" t="str">
        <x:v>Not Run</x:v>
      </x:c>
      <x:c r="B9" s="2" t="n">
        <x:f>COUNTIFS('UAT Cases'!I6:I29,A9)</x:f>
        <x:v>24</x:v>
      </x:c>
      <x:c r="C9" s="2"/>
      <x:c r="D9" s="2"/>
      <x:c r="E9" s="2"/>
      <x:c r="F9" s="2"/>
    </x:row>
    <x:row r="10">
      <x:c r="A10" s="2" t="str">
        <x:v>Not Applicable</x:v>
      </x:c>
      <x:c r="B10" s="2" t="n">
        <x:f>COUNTIFS('UAT Cases'!I6:I29,A10)</x:f>
        <x:v>0</x:v>
      </x:c>
      <x:c r="C10" s="2"/>
      <x:c r="D10" s="2"/>
      <x:c r="E10" s="2"/>
      <x:c r="F10" s="2"/>
    </x:row>
    <x:row r="11">
      <x:c r="A11" s="2" t="str">
        <x:v>Execution progress</x:v>
      </x:c>
      <x:c r="B11" s="12" t="n">
        <x:f>IF(B5=0,0,(B6+B7+B8+B10)/B5)</x:f>
        <x:v>0</x:v>
      </x:c>
      <x:c r="C11" s="2"/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 ht="48" customHeight="1">
      <x:c r="A14" s="13" t="str">
        <x:v>Purpose</x:v>
      </x:c>
      <x:c r="B14" s="9" t="str">
        <x:v>Confirm that a freight-forwarder user can enter cargo, request sample quotes and complete the demo booking journey.</x:v>
      </x:c>
      <x:c r="C14" s="2"/>
      <x:c r="D14" s="2"/>
      <x:c r="E14" s="2"/>
      <x:c r="F14" s="2"/>
    </x:row>
    <x:row r="15" ht="48" customHeight="1">
      <x:c r="A15" s="13" t="str">
        <x:v>Build under test</x:v>
      </x:c>
      <x:c r="B15" s="9" t="str">
        <x:v>aerocargo_python_backend.zip; record your local build/version before execution.</x:v>
      </x:c>
      <x:c r="C15" s="2"/>
      <x:c r="D15" s="2"/>
      <x:c r="E15" s="2"/>
      <x:c r="F15" s="2"/>
    </x:row>
    <x:row r="16" ht="48" customHeight="1">
      <x:c r="A16" s="13" t="str">
        <x:v>Local build / version</x:v>
      </x:c>
      <x:c r="B16" s="10" t="str"/>
      <x:c r="C16" s="2"/>
      <x:c r="D16" s="2"/>
      <x:c r="E16" s="2"/>
      <x:c r="F16" s="2"/>
    </x:row>
    <x:row r="17" ht="48" customHeight="1">
      <x:c r="A17" s="13" t="str">
        <x:v>Environment</x:v>
      </x:c>
      <x:c r="B17" s="9" t="str">
        <x:v>Python 3.9+; python server.py; browser at http://127.0.0.1:8000; Swagger at /docs.</x:v>
      </x:c>
      <x:c r="C17" s="2"/>
      <x:c r="D17" s="2"/>
      <x:c r="E17" s="2"/>
      <x:c r="F17" s="2"/>
    </x:row>
    <x:row r="18" ht="48" customHeight="1">
      <x:c r="A18" s="13" t="str">
        <x:v>Tester / browser</x:v>
      </x:c>
      <x:c r="B18" s="10" t="str"/>
      <x:c r="C18" s="2"/>
      <x:c r="D18" s="2"/>
      <x:c r="E18" s="2"/>
      <x:c r="F18" s="2"/>
    </x:row>
    <x:row r="19" ht="48" customHeight="1">
      <x:c r="A19" s="13" t="str">
        <x:v>Entry criteria</x:v>
      </x:c>
      <x:c r="B19" s="9" t="str">
        <x:v>Server starts; demo portal loads; test data available; candidate cases and acceptance criteria reviewed.</x:v>
      </x:c>
      <x:c r="C19" s="2"/>
      <x:c r="D19" s="2"/>
      <x:c r="E19" s="2"/>
      <x:c r="F19" s="2"/>
    </x:row>
    <x:row r="20" ht="48" customHeight="1">
      <x:c r="A20" s="13" t="str">
        <x:v>Scope</x:v>
      </x:c>
      <x:c r="B20" s="9" t="str">
        <x:v>Customer portal, importer, calculations, validation, review, submission, sample quotes, demo booking, browser history, backend persistence.</x:v>
      </x:c>
      <x:c r="C20" s="2"/>
      <x:c r="D20" s="2"/>
      <x:c r="E20" s="2"/>
      <x:c r="F20" s="2"/>
    </x:row>
    <x:row r="21" ht="48" customHeight="1">
      <x:c r="A21" s="13" t="str">
        <x:v>Scope limits</x:v>
      </x:c>
      <x:c r="B21" s="9" t="str">
        <x:v>Login is simulated; quotes and bookings are demos. No live airlines, payments, real AWBs, multi-user security or admin portal acceptance.</x:v>
      </x:c>
      <x:c r="C21" s="2"/>
      <x:c r="D21" s="2"/>
      <x:c r="E21" s="2"/>
      <x:c r="F21" s="2"/>
    </x:row>
    <x:row r="22" ht="48" customHeight="1">
      <x:c r="A22" s="13" t="str">
        <x:v>Execution method</x:v>
      </x:c>
      <x:c r="B22" s="9" t="str">
        <x:v>Record actual results, evidence, tester and date. Mark Pass only after observing expected behavior. Log failures in Defects; retest after fixes.</x:v>
      </x:c>
      <x:c r="C22" s="2"/>
      <x:c r="D22" s="2"/>
      <x:c r="E22" s="2"/>
      <x:c r="F22" s="2"/>
    </x:row>
    <x:row r="23" ht="48" customHeight="1">
      <x:c r="A23" s="13" t="str">
        <x:v>Status rules</x:v>
      </x:c>
      <x:c r="B23" s="9" t="str">
        <x:v>Blocked = unable to execute. Not Applicable requires a reason in Actual result and owner agreement. Blank results are not acceptance evidence.</x:v>
      </x:c>
      <x:c r="C23" s="2"/>
      <x:c r="D23" s="2"/>
      <x:c r="E23" s="2"/>
      <x:c r="F23" s="2"/>
    </x:row>
    <x:row r="24" ht="48" customHeight="1">
      <x:c r="A24" s="13" t="str">
        <x:v>Proposed exit criteria</x:v>
      </x:c>
      <x:c r="B24" s="9" t="str">
        <x:v>All applicable cases executed; all High-priority cases pass; no open Critical/High defects; remaining issues and exclusions accepted by the business owner. Confirm these criteria before testing.</x:v>
      </x:c>
      <x:c r="C24" s="2"/>
      <x:c r="D24" s="2"/>
      <x:c r="E24" s="2"/>
      <x:c r="F24" s="2"/>
    </x:row>
    <x:row r="25" ht="48" customHeight="1">
      <x:c r="A25" s="13" t="str">
        <x:v>UAT decision</x:v>
      </x:c>
      <x:c r="B25" s="10" t="str">
        <x:v>Pending</x:v>
      </x:c>
      <x:c r="C25" s="2"/>
      <x:c r="D25" s="2"/>
      <x:c r="E25" s="2"/>
      <x:c r="F25" s="2"/>
    </x:row>
    <x:row r="26" ht="48" customHeight="1">
      <x:c r="A26" s="13" t="str">
        <x:v>Business approver / role</x:v>
      </x:c>
      <x:c r="B26" s="10" t="str"/>
      <x:c r="C26" s="2"/>
      <x:c r="D26" s="2"/>
      <x:c r="E26" s="2"/>
      <x:c r="F26" s="2"/>
    </x:row>
    <x:row r="27" ht="48" customHeight="1">
      <x:c r="A27" s="13" t="str">
        <x:v>Sign-off date</x:v>
      </x:c>
      <x:c r="B27" s="11" t="str"/>
      <x:c r="C27" s="2"/>
      <x:c r="D27" s="2"/>
      <x:c r="E27" s="2"/>
      <x:c r="F27" s="2"/>
    </x:row>
    <x:row r="28" ht="48" customHeight="1">
      <x:c r="A28" s="13" t="str">
        <x:v>Accepted exceptions / reasons</x:v>
      </x:c>
      <x:c r="B28" s="10" t="str"/>
      <x:c r="C28" s="2"/>
      <x:c r="D28" s="2"/>
      <x:c r="E28" s="2"/>
      <x:c r="F28" s="2"/>
    </x:row>
    <x:row r="29" ht="48" customHeight="1">
      <x:c r="A29" s="13" t="str">
        <x:v>Evidence reviewed</x:v>
      </x:c>
      <x:c r="B29" s="10" t="str"/>
      <x:c r="C29" s="2"/>
      <x:c r="D29" s="2"/>
      <x:c r="E29" s="2"/>
      <x:c r="F29" s="2"/>
    </x:row>
    <x:row r="30" ht="48" customHeight="1">
      <x:c r="A30" s="13" t="str">
        <x:v>Basis</x:v>
      </x:c>
      <x:c r="B30" s="9" t="str">
        <x:v>Prepared from the supplied AeroCargo Python prototype and visible shipment workflow. These are proposed UAT cases, not signed business requirements.</x:v>
      </x:c>
      <x:c r="C30" s="2"/>
      <x:c r="D30" s="2"/>
      <x:c r="E30" s="2"/>
      <x:c r="F30" s="2"/>
    </x:row>
    <x:row r="31" ht="48" customHeight="1">
      <x:c r="A31" s="13" t="str">
        <x:v>Result status</x:v>
      </x:c>
      <x:c r="B31" s="9" t="str">
        <x:v>No user UAT execution evidence has been verified. Developer/API checks do not constitute business acceptance.</x:v>
      </x:c>
      <x:c r="C31" s="2"/>
      <x:c r="D31" s="2"/>
      <x:c r="E31" s="2"/>
      <x:c r="F31" s="2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/>
      <x:c r="B36" s="2"/>
      <x:c r="C36" s="2"/>
      <x:c r="D36" s="2"/>
      <x:c r="E36" s="2"/>
      <x:c r="F36" s="2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</x:sheetData>
  <x:dataValidations count="1">
    <x:dataValidation type="list" sqref="B25">
      <x:formula1>"Pending,Accepted,Accepted with conditions,Rejected"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2" hidden="0" customWidth="1"/>
    <x:col min="5" max="5" width="33" hidden="0" customWidth="1"/>
    <x:col min="6" max="6" width="55" hidden="0" customWidth="1"/>
    <x:col min="7" max="7" width="62" hidden="0" customWidth="1"/>
    <x:col min="8" max="8" width="45" hidden="0" customWidth="1"/>
    <x:col min="9" max="9" width="16" hidden="0" customWidth="1"/>
    <x:col min="10" max="10" width="30" hidden="0" customWidth="1"/>
    <x:col min="11" max="11" width="18" hidden="0" customWidth="1"/>
    <x:col min="12" max="12" width="22" hidden="0" customWidth="1"/>
    <x:col min="13" max="13" width="20" hidden="0" customWidth="1"/>
    <x:col min="14" max="14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AeroCargo UAT cases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Execute in order using the Python app. Amber cells are for tester input. All cases start Not Run.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2" customHeight="1">
      <x:c r="A5" s="8" t="str">
        <x:v>UAT ID</x:v>
      </x:c>
      <x:c r="B5" s="8" t="str">
        <x:v>Area</x:v>
      </x:c>
      <x:c r="C5" s="8" t="str">
        <x:v>Business scenario</x:v>
      </x:c>
      <x:c r="D5" s="8" t="str">
        <x:v>Priority</x:v>
      </x:c>
      <x:c r="E5" s="8" t="str">
        <x:v>Preconditions / data</x:v>
      </x:c>
      <x:c r="F5" s="8" t="str">
        <x:v>Test steps</x:v>
      </x:c>
      <x:c r="G5" s="8" t="str">
        <x:v>Expected business result</x:v>
      </x:c>
      <x:c r="H5" s="8" t="str">
        <x:v>Actual result</x:v>
      </x:c>
      <x:c r="I5" s="8" t="str">
        <x:v>Status</x:v>
      </x:c>
      <x:c r="J5" s="8" t="str">
        <x:v>Evidence / request ID</x:v>
      </x:c>
      <x:c r="K5" s="8" t="str">
        <x:v>Defect ID</x:v>
      </x:c>
      <x:c r="L5" s="8" t="str">
        <x:v>Tester</x:v>
      </x:c>
      <x:c r="M5" s="8" t="str">
        <x:v>Execution date</x:v>
      </x:c>
      <x:c r="N5" s="8" t="str">
        <x:v>Retest notes</x:v>
      </x:c>
    </x:row>
    <x:row r="6" ht="108" customHeight="1">
      <x:c r="A6" s="9" t="str">
        <x:v>UAT-01</x:v>
      </x:c>
      <x:c r="B6" s="9" t="str">
        <x:v>Access</x:v>
      </x:c>
      <x:c r="C6" s="9" t="str">
        <x:v>Open the customer portal</x:v>
      </x:c>
      <x:c r="D6" s="9" t="str">
        <x:v>High</x:v>
      </x:c>
      <x:c r="E6" s="9" t="str">
        <x:v>Python server running; browser open.</x:v>
      </x:c>
      <x:c r="F6" s="9" t="str">
        <x:v>1. Open http://127.0.0.1:8000.
2. Enter test@example.com and a nonempty password.
3. Select Sign In.</x:v>
      </x:c>
      <x:c r="G6" s="9" t="str">
        <x:v>Cargo request page opens. Demo login is clearly identified. No real account authentication is implied.</x:v>
      </x:c>
      <x:c r="H6" s="10" t="str"/>
      <x:c r="I6" s="10" t="str">
        <x:v>Not Run</x:v>
      </x:c>
      <x:c r="J6" s="10" t="str"/>
      <x:c r="K6" s="10" t="str"/>
      <x:c r="L6" s="10" t="str"/>
      <x:c r="M6" s="11"/>
      <x:c r="N6" s="10" t="str"/>
    </x:row>
    <x:row r="7" ht="108" customHeight="1">
      <x:c r="A7" s="9" t="str">
        <x:v>UAT-02</x:v>
      </x:c>
      <x:c r="B7" s="9" t="str">
        <x:v>Importer</x:v>
      </x:c>
      <x:c r="C7" s="9" t="str">
        <x:v>Start with an empty importer</x:v>
      </x:c>
      <x:c r="D7" s="9" t="str">
        <x:v>High</x:v>
      </x:c>
      <x:c r="E7" s="9" t="str">
        <x:v>Fresh sign-in; no text pasted.</x:v>
      </x:c>
      <x:c r="F7" s="9" t="str">
        <x:v>1. Locate Shipment Importer.
2. Click inside the box.</x:v>
      </x:c>
      <x:c r="G7" s="9" t="str">
        <x:v>Box contains no prefilled shipment text and accepts typing/pasting. Other form defaults are not required to be blank.</x:v>
      </x:c>
      <x:c r="H7" s="10" t="str"/>
      <x:c r="I7" s="10" t="str">
        <x:v>Not Run</x:v>
      </x:c>
      <x:c r="J7" s="10" t="str"/>
      <x:c r="K7" s="10" t="str"/>
      <x:c r="L7" s="10" t="str"/>
      <x:c r="M7" s="11"/>
      <x:c r="N7" s="10" t="str"/>
    </x:row>
    <x:row r="8" ht="108" customHeight="1">
      <x:c r="A8" s="9" t="str">
        <x:v>UAT-03</x:v>
      </x:c>
      <x:c r="B8" s="9" t="str">
        <x:v>Importer</x:v>
      </x:c>
      <x:c r="C8" s="9" t="str">
        <x:v>Autofill a complete shipment</x:v>
      </x:c>
      <x:c r="D8" s="9" t="str">
        <x:v>High</x:v>
      </x:c>
      <x:c r="E8" s="9" t="str">
        <x:v>Signed in; Test Data provides TD-01.</x:v>
      </x:c>
      <x:c r="F8" s="9" t="str">
        <x:v>1. Copy TD-01 shipment text.
2. Paste into Shipment Importer.
3. Wait for autofill.
4. Compare each form field with TD-01.</x:v>
      </x:c>
      <x:c r="G8" s="9" t="str">
        <x:v>Pickup, destination, date, cargo type, known shipper, commodity, units, gross mode, 2 pieces, 48 × 40 × 45 dimensions and 1150 lb fill correctly. Handling is Yes.</x:v>
      </x:c>
      <x:c r="H8" s="10" t="str"/>
      <x:c r="I8" s="10" t="str">
        <x:v>Not Run</x:v>
      </x:c>
      <x:c r="J8" s="10" t="str"/>
      <x:c r="K8" s="10" t="str"/>
      <x:c r="L8" s="10" t="str"/>
      <x:c r="M8" s="11"/>
      <x:c r="N8" s="10" t="str"/>
    </x:row>
    <x:row r="9" ht="108" customHeight="1">
      <x:c r="A9" s="9" t="str">
        <x:v>UAT-04</x:v>
      </x:c>
      <x:c r="B9" s="9" t="str">
        <x:v>Importer</x:v>
      </x:c>
      <x:c r="C9" s="9" t="str">
        <x:v>Import non-stackable and unknown shipper</x:v>
      </x:c>
      <x:c r="D9" s="9" t="str">
        <x:v>High</x:v>
      </x:c>
      <x:c r="E9" s="9" t="str">
        <x:v>Fresh request; TD-01 available.</x:v>
      </x:c>
      <x:c r="F9" s="9" t="str">
        <x:v>1. Change Known Shipper to No and Handling / Packing to No in pasted TD-01.
2. Wait for autofill.</x:v>
      </x:c>
      <x:c r="G9" s="9" t="str">
        <x:v>Known Shipper and Handling / Packing both show No. Negative values are not interpreted as Yes.</x:v>
      </x:c>
      <x:c r="H9" s="10" t="str"/>
      <x:c r="I9" s="10" t="str">
        <x:v>Not Run</x:v>
      </x:c>
      <x:c r="J9" s="10" t="str"/>
      <x:c r="K9" s="10" t="str"/>
      <x:c r="L9" s="10" t="str"/>
      <x:c r="M9" s="11"/>
      <x:c r="N9" s="10" t="str"/>
    </x:row>
    <x:row r="10" ht="108" customHeight="1">
      <x:c r="A10" s="9" t="str">
        <x:v>UAT-05</x:v>
      </x:c>
      <x:c r="B10" s="9" t="str">
        <x:v>Importer</x:v>
      </x:c>
      <x:c r="C10" s="9" t="str">
        <x:v>Handle incomplete shipment text</x:v>
      </x:c>
      <x:c r="D10" s="9" t="str">
        <x:v>High</x:v>
      </x:c>
      <x:c r="E10" s="9" t="str">
        <x:v>Signed in.</x:v>
      </x:c>
      <x:c r="F10" s="9" t="str">
        <x:v>1. Paste only: Gross Weight: 100 kg.
2. Inspect the importer message and cargo row.
3. Try Search Rates.</x:v>
      </x:c>
      <x:c r="G10" s="9" t="str">
        <x:v>Missing dimensions are blank and identified for manual entry. Search Rates does not proceed until dimensions are provided.</x:v>
      </x:c>
      <x:c r="H10" s="10" t="str"/>
      <x:c r="I10" s="10" t="str">
        <x:v>Not Run</x:v>
      </x:c>
      <x:c r="J10" s="10" t="str"/>
      <x:c r="K10" s="10" t="str"/>
      <x:c r="L10" s="10" t="str"/>
      <x:c r="M10" s="11"/>
      <x:c r="N10" s="10" t="str"/>
    </x:row>
    <x:row r="11" ht="108" customHeight="1">
      <x:c r="A11" s="9" t="str">
        <x:v>UAT-06</x:v>
      </x:c>
      <x:c r="B11" s="9" t="str">
        <x:v>Importer</x:v>
      </x:c>
      <x:c r="C11" s="9" t="str">
        <x:v>Handle unrelated pasted text</x:v>
      </x:c>
      <x:c r="D11" s="9" t="str">
        <x:v>Medium</x:v>
      </x:c>
      <x:c r="E11" s="9" t="str">
        <x:v>Record current form values.</x:v>
      </x:c>
      <x:c r="F11" s="9" t="str">
        <x:v>1. Replace importer text with: Hello, please call me.
2. Wait for response.</x:v>
      </x:c>
      <x:c r="G11" s="9" t="str">
        <x:v>No shipment details recognized message appears. Unrelated text does not invent shipment values.</x:v>
      </x:c>
      <x:c r="H11" s="10" t="str"/>
      <x:c r="I11" s="10" t="str">
        <x:v>Not Run</x:v>
      </x:c>
      <x:c r="J11" s="10" t="str"/>
      <x:c r="K11" s="10" t="str"/>
      <x:c r="L11" s="10" t="str"/>
      <x:c r="M11" s="11"/>
      <x:c r="N11" s="10" t="str"/>
    </x:row>
    <x:row r="12" ht="108" customHeight="1">
      <x:c r="A12" s="9" t="str">
        <x:v>UAT-07</x:v>
      </x:c>
      <x:c r="B12" s="9" t="str">
        <x:v>Importer</x:v>
      </x:c>
      <x:c r="C12" s="9" t="str">
        <x:v>Retain manual corrections</x:v>
      </x:c>
      <x:c r="D12" s="9" t="str">
        <x:v>High</x:v>
      </x:c>
      <x:c r="E12" s="9" t="str">
        <x:v>TD-01 imported successfully.</x:v>
      </x:c>
      <x:c r="F12" s="9" t="str">
        <x:v>1. Change destination manually from MAA to DEL.
2. Select Search Rates.
3. Inspect route on review page.</x:v>
      </x:c>
      <x:c r="G12" s="9" t="str">
        <x:v>Review shows DEL. A manual correction remains effective without another paste.</x:v>
      </x:c>
      <x:c r="H12" s="10" t="str"/>
      <x:c r="I12" s="10" t="str">
        <x:v>Not Run</x:v>
      </x:c>
      <x:c r="J12" s="10" t="str"/>
      <x:c r="K12" s="10" t="str"/>
      <x:c r="L12" s="10" t="str"/>
      <x:c r="M12" s="11"/>
      <x:c r="N12" s="10" t="str"/>
    </x:row>
    <x:row r="13" ht="108" customHeight="1">
      <x:c r="A13" s="9" t="str">
        <x:v>UAT-08</x:v>
      </x:c>
      <x:c r="B13" s="9" t="str">
        <x:v>Importer</x:v>
      </x:c>
      <x:c r="C13" s="9" t="str">
        <x:v>Clear text without losing form edits</x:v>
      </x:c>
      <x:c r="D13" s="9" t="str">
        <x:v>Medium</x:v>
      </x:c>
      <x:c r="E13" s="9" t="str">
        <x:v>TD-01 imported; manual destination changed to DEL.</x:v>
      </x:c>
      <x:c r="F13" s="9" t="str">
        <x:v>1. Delete all text from importer.
2. Inspect destination and cargo row.</x:v>
      </x:c>
      <x:c r="G13" s="9" t="str">
        <x:v>Importer becomes blank. Existing form values, including DEL, remain available.</x:v>
      </x:c>
      <x:c r="H13" s="10" t="str"/>
      <x:c r="I13" s="10" t="str">
        <x:v>Not Run</x:v>
      </x:c>
      <x:c r="J13" s="10" t="str"/>
      <x:c r="K13" s="10" t="str"/>
      <x:c r="L13" s="10" t="str"/>
      <x:c r="M13" s="11"/>
      <x:c r="N13" s="10" t="str"/>
    </x:row>
    <x:row r="14" ht="108" customHeight="1">
      <x:c r="A14" s="9" t="str">
        <x:v>UAT-09</x:v>
      </x:c>
      <x:c r="B14" s="9" t="str">
        <x:v>Cargo</x:v>
      </x:c>
      <x:c r="C14" s="9" t="str">
        <x:v>Calculate gross-mode totals</x:v>
      </x:c>
      <x:c r="D14" s="9" t="str">
        <x:v>High</x:v>
      </x:c>
      <x:c r="E14" s="9" t="str">
        <x:v>TD-01 imported.</x:v>
      </x:c>
      <x:c r="F14" s="9" t="str">
        <x:v>1. Confirm gross mode and 2 pieces.
2. Inspect displayed totals.</x:v>
      </x:c>
      <x:c r="G14" s="9" t="str">
        <x:v>Total pieces = 2; gross = 1150.0 lb; volume = 472.1 lb; chargeable = 521.6 kg. Values are rounded to one decimal.</x:v>
      </x:c>
      <x:c r="H14" s="10" t="str"/>
      <x:c r="I14" s="10" t="str">
        <x:v>Not Run</x:v>
      </x:c>
      <x:c r="J14" s="10" t="str"/>
      <x:c r="K14" s="10" t="str"/>
      <x:c r="L14" s="10" t="str"/>
      <x:c r="M14" s="11"/>
      <x:c r="N14" s="10" t="str"/>
    </x:row>
    <x:row r="15" ht="108" customHeight="1">
      <x:c r="A15" s="9" t="str">
        <x:v>UAT-10</x:v>
      </x:c>
      <x:c r="B15" s="9" t="str">
        <x:v>Cargo</x:v>
      </x:c>
      <x:c r="C15" s="9" t="str">
        <x:v>Calculate piece-mode totals</x:v>
      </x:c>
      <x:c r="D15" s="9" t="str">
        <x:v>High</x:v>
      </x:c>
      <x:c r="E15" s="9" t="str">
        <x:v>Start with TD-01.</x:v>
      </x:c>
      <x:c r="F15" s="9" t="str">
        <x:v>1. Select piece mode.
2. Set weight to 575 lb per piece.
3. Keep 2 pieces and existing dimensions.</x:v>
      </x:c>
      <x:c r="G15" s="9" t="str">
        <x:v>Total gross stays 1150.0 lb and chargeable stays 521.6 kg. Piece weight is multiplied by quantity once.</x:v>
      </x:c>
      <x:c r="H15" s="10" t="str"/>
      <x:c r="I15" s="10" t="str">
        <x:v>Not Run</x:v>
      </x:c>
      <x:c r="J15" s="10" t="str"/>
      <x:c r="K15" s="10" t="str"/>
      <x:c r="L15" s="10" t="str"/>
      <x:c r="M15" s="11"/>
      <x:c r="N15" s="10" t="str"/>
    </x:row>
    <x:row r="16" ht="108" customHeight="1">
      <x:c r="A16" s="9" t="str">
        <x:v>UAT-11</x:v>
      </x:c>
      <x:c r="B16" s="9" t="str">
        <x:v>Cargo</x:v>
      </x:c>
      <x:c r="C16" s="9" t="str">
        <x:v>Calculate metric-unit shipment</x:v>
      </x:c>
      <x:c r="D16" s="9" t="str">
        <x:v>High</x:v>
      </x:c>
      <x:c r="E16" s="9" t="str">
        <x:v>Fresh request; TD-02 available.</x:v>
      </x:c>
      <x:c r="F16" s="9" t="str">
        <x:v>1. Paste TD-02.
2. Confirm cm and kg units.
3. Inspect totals.</x:v>
      </x:c>
      <x:c r="G16" s="9" t="str">
        <x:v>1 piece, 100 × 80 × 60 cm and 100 kg are populated. Gross = 220.5 lb and chargeable = 100.0 kg under the current demo divisor.</x:v>
      </x:c>
      <x:c r="H16" s="10" t="str"/>
      <x:c r="I16" s="10" t="str">
        <x:v>Not Run</x:v>
      </x:c>
      <x:c r="J16" s="10" t="str"/>
      <x:c r="K16" s="10" t="str"/>
      <x:c r="L16" s="10" t="str"/>
      <x:c r="M16" s="11"/>
      <x:c r="N16" s="10" t="str"/>
    </x:row>
    <x:row r="17" ht="108" customHeight="1">
      <x:c r="A17" s="9" t="str">
        <x:v>UAT-12</x:v>
      </x:c>
      <x:c r="B17" s="9" t="str">
        <x:v>Cargo</x:v>
      </x:c>
      <x:c r="C17" s="9" t="str">
        <x:v>Add and remove a cargo row</x:v>
      </x:c>
      <x:c r="D17" s="9" t="str">
        <x:v>High</x:v>
      </x:c>
      <x:c r="E17" s="9" t="str">
        <x:v>TD-01 imported.</x:v>
      </x:c>
      <x:c r="F17" s="9" t="str">
        <x:v>1. Select Add More Cargo.
2. Add 1 piece, 10 × 10 × 10 in, gross 100 lb.
3. Inspect totals.
4. Remove that row.</x:v>
      </x:c>
      <x:c r="G17" s="9" t="str">
        <x:v>After adding: 3 pieces and 1250.0 lb gross. After removal: 2 pieces and 1150.0 lb. Original row remains unchanged.</x:v>
      </x:c>
      <x:c r="H17" s="10" t="str"/>
      <x:c r="I17" s="10" t="str">
        <x:v>Not Run</x:v>
      </x:c>
      <x:c r="J17" s="10" t="str"/>
      <x:c r="K17" s="10" t="str"/>
      <x:c r="L17" s="10" t="str"/>
      <x:c r="M17" s="11"/>
      <x:c r="N17" s="10" t="str"/>
    </x:row>
    <x:row r="18" ht="108" customHeight="1">
      <x:c r="A18" s="9" t="str">
        <x:v>UAT-13</x:v>
      </x:c>
      <x:c r="B18" s="9" t="str">
        <x:v>Validation</x:v>
      </x:c>
      <x:c r="C18" s="9" t="str">
        <x:v>Require a drop-off date</x:v>
      </x:c>
      <x:c r="D18" s="9" t="str">
        <x:v>High</x:v>
      </x:c>
      <x:c r="E18" s="9" t="str">
        <x:v>TD-01 imported.</x:v>
      </x:c>
      <x:c r="F18" s="9" t="str">
        <x:v>1. Clear expected drop-off date.
2. Select Search Rates.</x:v>
      </x:c>
      <x:c r="G18" s="9" t="str">
        <x:v>User stays on cargo page and sees an instruction to enter a drop-off date.</x:v>
      </x:c>
      <x:c r="H18" s="10" t="str"/>
      <x:c r="I18" s="10" t="str">
        <x:v>Not Run</x:v>
      </x:c>
      <x:c r="J18" s="10" t="str"/>
      <x:c r="K18" s="10" t="str"/>
      <x:c r="L18" s="10" t="str"/>
      <x:c r="M18" s="11"/>
      <x:c r="N18" s="10" t="str"/>
    </x:row>
    <x:row r="19" ht="108" customHeight="1">
      <x:c r="A19" s="9" t="str">
        <x:v>UAT-14</x:v>
      </x:c>
      <x:c r="B19" s="9" t="str">
        <x:v>Validation</x:v>
      </x:c>
      <x:c r="C19" s="9" t="str">
        <x:v>Reject non-positive cargo values</x:v>
      </x:c>
      <x:c r="D19" s="9" t="str">
        <x:v>High</x:v>
      </x:c>
      <x:c r="E19" s="9" t="str">
        <x:v>TD-01 imported.</x:v>
      </x:c>
      <x:c r="F19" s="9" t="str">
        <x:v>1. Set weight to 0 and select Search Rates.
2. Repeat with weight -5.
3. Restore weight; repeat with pieces 0 and length 0.</x:v>
      </x:c>
      <x:c r="G19" s="9" t="str">
        <x:v>Each invalid attempt is blocked. No request can be submitted with the invalid cargo value.</x:v>
      </x:c>
      <x:c r="H19" s="10" t="str"/>
      <x:c r="I19" s="10" t="str">
        <x:v>Not Run</x:v>
      </x:c>
      <x:c r="J19" s="10" t="str"/>
      <x:c r="K19" s="10" t="str"/>
      <x:c r="L19" s="10" t="str"/>
      <x:c r="M19" s="11"/>
      <x:c r="N19" s="10" t="str"/>
    </x:row>
    <x:row r="20" ht="108" customHeight="1">
      <x:c r="A20" s="9" t="str">
        <x:v>UAT-15</x:v>
      </x:c>
      <x:c r="B20" s="9" t="str">
        <x:v>Review</x:v>
      </x:c>
      <x:c r="C20" s="9" t="str">
        <x:v>Review and edit shipment details</x:v>
      </x:c>
      <x:c r="D20" s="9" t="str">
        <x:v>High</x:v>
      </x:c>
      <x:c r="E20" s="9" t="str">
        <x:v>Complete TD-01 entered.</x:v>
      </x:c>
      <x:c r="F20" s="9" t="str">
        <x:v>1. Select Search Rates.
2. Compare cargo details and totals.
3. Select Edit; change commodity to Electronics.
4. Return to review.</x:v>
      </x:c>
      <x:c r="G20" s="9" t="str">
        <x:v>Review accurately reflects the shipment and the corrected commodity. Entered values survive navigation.</x:v>
      </x:c>
      <x:c r="H20" s="10" t="str"/>
      <x:c r="I20" s="10" t="str">
        <x:v>Not Run</x:v>
      </x:c>
      <x:c r="J20" s="10" t="str"/>
      <x:c r="K20" s="10" t="str"/>
      <x:c r="L20" s="10" t="str"/>
      <x:c r="M20" s="11"/>
      <x:c r="N20" s="10" t="str"/>
    </x:row>
    <x:row r="21" ht="108" customHeight="1">
      <x:c r="A21" s="9" t="str">
        <x:v>UAT-16</x:v>
      </x:c>
      <x:c r="B21" s="9" t="str">
        <x:v>Submission</x:v>
      </x:c>
      <x:c r="C21" s="9" t="str">
        <x:v>Require acceptance of demo terms</x:v>
      </x:c>
      <x:c r="D21" s="9" t="str">
        <x:v>High</x:v>
      </x:c>
      <x:c r="E21" s="9" t="str">
        <x:v>Review page; terms unchecked.</x:v>
      </x:c>
      <x:c r="F21" s="9" t="str">
        <x:v>1. Select Submit Request without accepting terms.</x:v>
      </x:c>
      <x:c r="G21" s="9" t="str">
        <x:v>A message requests acceptance. User remains on review and no request is submitted by this action.</x:v>
      </x:c>
      <x:c r="H21" s="10" t="str"/>
      <x:c r="I21" s="10" t="str">
        <x:v>Not Run</x:v>
      </x:c>
      <x:c r="J21" s="10" t="str"/>
      <x:c r="K21" s="10" t="str"/>
      <x:c r="L21" s="10" t="str"/>
      <x:c r="M21" s="11"/>
      <x:c r="N21" s="10" t="str"/>
    </x:row>
    <x:row r="22" ht="108" customHeight="1">
      <x:c r="A22" s="9" t="str">
        <x:v>UAT-17</x:v>
      </x:c>
      <x:c r="B22" s="9" t="str">
        <x:v>Submission</x:v>
      </x:c>
      <x:c r="C22" s="9" t="str">
        <x:v>Submit request and receive quotes</x:v>
      </x:c>
      <x:c r="D22" s="9" t="str">
        <x:v>High</x:v>
      </x:c>
      <x:c r="E22" s="9" t="str">
        <x:v>Valid shipment on review page.</x:v>
      </x:c>
      <x:c r="F22" s="9" t="str">
        <x:v>1. Enter reference UAT-REF-001.
2. Accept terms and submit.
3. Record the displayed request ID as the execution reference.</x:v>
      </x:c>
      <x:c r="G22" s="9" t="str">
        <x:v>Request saves successfully and two sample airline quotations display. A shipment UUID is shown. Quotes are marked as demo/sample rates.</x:v>
      </x:c>
      <x:c r="H22" s="10" t="str"/>
      <x:c r="I22" s="10" t="str">
        <x:v>Not Run</x:v>
      </x:c>
      <x:c r="J22" s="10" t="str"/>
      <x:c r="K22" s="10" t="str"/>
      <x:c r="L22" s="10" t="str"/>
      <x:c r="M22" s="11"/>
      <x:c r="N22" s="10" t="str"/>
    </x:row>
    <x:row r="23" ht="108" customHeight="1">
      <x:c r="A23" s="9" t="str">
        <x:v>UAT-18</x:v>
      </x:c>
      <x:c r="B23" s="9" t="str">
        <x:v>Quotes</x:v>
      </x:c>
      <x:c r="C23" s="9" t="str">
        <x:v>Compare quotations and inspect costs</x:v>
      </x:c>
      <x:c r="D23" s="9" t="str">
        <x:v>High</x:v>
      </x:c>
      <x:c r="E23" s="9" t="str">
        <x:v>UAT-17 completed.</x:v>
      </x:c>
      <x:c r="F23" s="9" t="str">
        <x:v>1. Compare Qatar Airways and Air India.
2. Open each View Quote page.
3. Compare components with total.</x:v>
      </x:c>
      <x:c r="G23" s="9" t="str">
        <x:v>Both quotes show positive USD amounts. Airline plus inland cost equals total, allowing displayed rounding. Route uses the submitted destination.</x:v>
      </x:c>
      <x:c r="H23" s="10" t="str"/>
      <x:c r="I23" s="10" t="str">
        <x:v>Not Run</x:v>
      </x:c>
      <x:c r="J23" s="10" t="str"/>
      <x:c r="K23" s="10" t="str"/>
      <x:c r="L23" s="10" t="str"/>
      <x:c r="M23" s="11"/>
      <x:c r="N23" s="10" t="str"/>
    </x:row>
    <x:row r="24" ht="108" customHeight="1">
      <x:c r="A24" s="9" t="str">
        <x:v>UAT-19</x:v>
      </x:c>
      <x:c r="B24" s="9" t="str">
        <x:v>Services</x:v>
      </x:c>
      <x:c r="C24" s="9" t="str">
        <x:v>Exclude pickup charges</x:v>
      </x:c>
      <x:c r="D24" s="9" t="str">
        <x:v>High</x:v>
      </x:c>
      <x:c r="E24" s="9" t="str">
        <x:v>Fresh TD-01 request.</x:v>
      </x:c>
      <x:c r="F24" s="9" t="str">
        <x:v>1. Select Air Freight Only.
2. Review, accept terms and submit.
3. Open quote detail.</x:v>
      </x:c>
      <x:c r="G24" s="9" t="str">
        <x:v>Inland service cost is zero/excluded. Quote total reflects airline charges without pickup-related charges.</x:v>
      </x:c>
      <x:c r="H24" s="10" t="str"/>
      <x:c r="I24" s="10" t="str">
        <x:v>Not Run</x:v>
      </x:c>
      <x:c r="J24" s="10" t="str"/>
      <x:c r="K24" s="10" t="str"/>
      <x:c r="L24" s="10" t="str"/>
      <x:c r="M24" s="11"/>
      <x:c r="N24" s="10" t="str"/>
    </x:row>
    <x:row r="25" ht="108" customHeight="1">
      <x:c r="A25" s="9" t="str">
        <x:v>UAT-20</x:v>
      </x:c>
      <x:c r="B25" s="9" t="str">
        <x:v>Booking demo</x:v>
      </x:c>
      <x:c r="C25" s="9" t="str">
        <x:v>Complete simulated booking</x:v>
      </x:c>
      <x:c r="D25" s="9" t="str">
        <x:v>High</x:v>
      </x:c>
      <x:c r="E25" s="9" t="str">
        <x:v>Quote detail open after UAT-17.</x:v>
      </x:c>
      <x:c r="F25" s="9" t="str">
        <x:v>1. Select Book Quote.
2. Inspect confirmation and reference.</x:v>
      </x:c>
      <x:c r="G25" s="9" t="str">
        <x:v>Demo Booking Complete appears, with a DEMO-prefixed AWB and UAT-REF-001. No real airline booking or real AWB issuance is claimed.</x:v>
      </x:c>
      <x:c r="H25" s="10" t="str"/>
      <x:c r="I25" s="10" t="str">
        <x:v>Not Run</x:v>
      </x:c>
      <x:c r="J25" s="10" t="str"/>
      <x:c r="K25" s="10" t="str"/>
      <x:c r="L25" s="10" t="str"/>
      <x:c r="M25" s="11"/>
      <x:c r="N25" s="10" t="str"/>
    </x:row>
    <x:row r="26" ht="108" customHeight="1">
      <x:c r="A26" s="9" t="str">
        <x:v>UAT-21</x:v>
      </x:c>
      <x:c r="B26" s="9" t="str">
        <x:v>History</x:v>
      </x:c>
      <x:c r="C26" s="9" t="str">
        <x:v>Find booking in browser history</x:v>
      </x:c>
      <x:c r="D26" s="9" t="str">
        <x:v>Medium</x:v>
      </x:c>
      <x:c r="E26" s="9" t="str">
        <x:v>UAT-20 completed in the same browser.</x:v>
      </x:c>
      <x:c r="F26" s="9" t="str">
        <x:v>1. Open Request History.
2. Locate the request ID from UAT-17.
3. Refresh, sign in and reopen history.</x:v>
      </x:c>
      <x:c r="G26" s="9" t="str">
        <x:v>Simulated booking remains listed with matching route, airline and amount. This history is browser-local, not the API shipment list.</x:v>
      </x:c>
      <x:c r="H26" s="10" t="str"/>
      <x:c r="I26" s="10" t="str">
        <x:v>Not Run</x:v>
      </x:c>
      <x:c r="J26" s="10" t="str"/>
      <x:c r="K26" s="10" t="str"/>
      <x:c r="L26" s="10" t="str"/>
      <x:c r="M26" s="11"/>
      <x:c r="N26" s="10" t="str"/>
    </x:row>
    <x:row r="27" ht="108" customHeight="1">
      <x:c r="A27" s="9" t="str">
        <x:v>UAT-22</x:v>
      </x:c>
      <x:c r="B27" s="9" t="str">
        <x:v>Metrics</x:v>
      </x:c>
      <x:c r="C27" s="9" t="str">
        <x:v>Reflect the completed demo booking</x:v>
      </x:c>
      <x:c r="D27" s="9" t="str">
        <x:v>Medium</x:v>
      </x:c>
      <x:c r="E27" s="9" t="str">
        <x:v>Record booking count before running UAT-20.</x:v>
      </x:c>
      <x:c r="F27" s="9" t="str">
        <x:v>1. Open Metrics after UAT-20.
2. Compare booking count and value with the new booking.</x:v>
      </x:c>
      <x:c r="G27" s="9" t="str">
        <x:v>Booking count increases by one and total demo value increases by that booking amount in the same browser.</x:v>
      </x:c>
      <x:c r="H27" s="10" t="str"/>
      <x:c r="I27" s="10" t="str">
        <x:v>Not Run</x:v>
      </x:c>
      <x:c r="J27" s="10" t="str"/>
      <x:c r="K27" s="10" t="str"/>
      <x:c r="L27" s="10" t="str"/>
      <x:c r="M27" s="11"/>
      <x:c r="N27" s="10" t="str"/>
    </x:row>
    <x:row r="28" ht="108" customHeight="1">
      <x:c r="A28" s="9" t="str">
        <x:v>UAT-23</x:v>
      </x:c>
      <x:c r="B28" s="9" t="str">
        <x:v>Persistence</x:v>
      </x:c>
      <x:c r="C28" s="9" t="str">
        <x:v>Retain saved shipment after restart</x:v>
      </x:c>
      <x:c r="D28" s="9" t="str">
        <x:v>High</x:v>
      </x:c>
      <x:c r="E28" s="9" t="str">
        <x:v>UAT-17 completed; shipment ID recorded.</x:v>
      </x:c>
      <x:c r="F28" s="9" t="str">
        <x:v>1. Stop Python server and restart python server.py.
2. In Swagger GET /api/shipments/{id}, enter recorded ID and Execute.</x:v>
      </x:c>
      <x:c r="G28" s="9" t="str">
        <x:v>200 response returns the same saved shipment details. This verifies backend persistence, independent of browser booking history.</x:v>
      </x:c>
      <x:c r="H28" s="10" t="str"/>
      <x:c r="I28" s="10" t="str">
        <x:v>Not Run</x:v>
      </x:c>
      <x:c r="J28" s="10" t="str"/>
      <x:c r="K28" s="10" t="str"/>
      <x:c r="L28" s="10" t="str"/>
      <x:c r="M28" s="11"/>
      <x:c r="N28" s="10" t="str"/>
    </x:row>
    <x:row r="29" ht="108" customHeight="1">
      <x:c r="A29" s="9" t="str">
        <x:v>UAT-24</x:v>
      </x:c>
      <x:c r="B29" s="9" t="str">
        <x:v>Error handling</x:v>
      </x:c>
      <x:c r="C29" s="9" t="str">
        <x:v>Explain an unavailable backend</x:v>
      </x:c>
      <x:c r="D29" s="9" t="str">
        <x:v>High</x:v>
      </x:c>
      <x:c r="E29" s="9" t="str">
        <x:v>Portal loaded with backend running.</x:v>
      </x:c>
      <x:c r="F29" s="9" t="str">
        <x:v>1. Stop backend.
2. Paste TD-01 into importer.
3. Observe message.
4. Restart backend and paste again.</x:v>
      </x:c>
      <x:c r="G29" s="9" t="str">
        <x:v>Failure is visible; no successful import is claimed while offline. After restart, a new paste fills the form.</x:v>
      </x:c>
      <x:c r="H29" s="10" t="str"/>
      <x:c r="I29" s="10" t="str">
        <x:v>Not Run</x:v>
      </x:c>
      <x:c r="J29" s="10" t="str"/>
      <x:c r="K29" s="10" t="str"/>
      <x:c r="L29" s="10" t="str"/>
      <x:c r="M29" s="11"/>
      <x:c r="N29" s="10" t="str"/>
    </x:row>
  </x:sheetData>
  <x:conditionalFormatting sqref="I6:I29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Pass"/>
  </x:conditionalFormatting>
  <x:dataValidations count="1">
    <x:dataValidation type="list" sqref="I6:I29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4ebb50476a4a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5" hidden="0" customWidth="1"/>
    <x:col min="3" max="3" width="64" hidden="0" customWidth="1"/>
  </x:cols>
  <x:sheetData>
    <x:row r="1">
      <x:c r="A1" s="2"/>
      <x:c r="B1" s="2"/>
      <x:c r="C1" s="2"/>
    </x:row>
    <x:row r="2" ht="28" customHeight="1">
      <x:c r="A2" s="3" t="str">
        <x:v>Test data and calculation reference</x:v>
      </x:c>
      <x:c r="B2" s="2"/>
      <x:c r="C2" s="2"/>
    </x:row>
    <x:row r="3">
      <x:c r="A3" s="2"/>
      <x:c r="B3" s="2"/>
      <x:c r="C3" s="2"/>
    </x:row>
    <x:row r="4" ht="32" customHeight="1">
      <x:c r="A4" s="8" t="str">
        <x:v>Data ID</x:v>
      </x:c>
      <x:c r="B4" s="8" t="str">
        <x:v>Input / instruction</x:v>
      </x:c>
      <x:c r="C4" s="8" t="str">
        <x:v>Expected / purpose</x:v>
      </x:c>
    </x:row>
    <x:row r="5" ht="285" customHeight="1">
      <x:c r="A5" s="9" t="str">
        <x:v>TD-01</x:v>
      </x:c>
      <x:c r="B5" s="9" t="str">
        <x:v>Pickup Address: CA 90046
Origin: LAX
Destination: MAA
Expected Drop Off: 25-10-2026
Cargo Type: General Cargo
Known Shipper: Yes
Commodity: Textiles &amp; Fashion
Weight Mode: gross
Units: in / lb
Pieces: 2
Length: 48
Width: 40
Height: 45
Gross Weight: 1150 lb
Handling / Packing: Yes</x:v>
      </x:c>
      <x:c r="C5" s="9" t="str">
        <x:v>Baseline: 2 pieces; total gross 1150 lb; dimensions per piece. Paste only column B text.</x:v>
      </x:c>
    </x:row>
    <x:row r="6" ht="285" customHeight="1">
      <x:c r="A6" s="9" t="str">
        <x:v>TD-02</x:v>
      </x:c>
      <x:c r="B6" s="9" t="str">
        <x:v>Pickup Address: CA 90046
Origin: LAX
Destination: MAA
Expected Drop Off: 25-10-2026
Cargo Type: General Cargo
Known Shipper: Yes
Commodity: Textiles &amp; Fashion
Weight Mode: gross
Units: cm / kg
Pieces: 1
Length: 100
Width: 80
Height: 60
Gross Weight: 100 kg
Handling / Packing: Yes</x:v>
      </x:c>
      <x:c r="C6" s="9" t="str">
        <x:v>Metric shipment. Paste only column B text.</x:v>
      </x:c>
    </x:row>
    <x:row r="7" ht="65" customHeight="1">
      <x:c r="A7" s="9" t="str">
        <x:v>Reuse data</x:v>
      </x:c>
      <x:c r="B7" s="9" t="str">
        <x:v>Use a fresh sign-in/request as specified. Record each new request UUID in the case evidence column.</x:v>
      </x:c>
      <x:c r="C7" s="9" t="str">
        <x:v>Dates are illustrative. Use a suitable future date if executing later; preserve format.</x:v>
      </x:c>
    </x:row>
    <x:row r="8">
      <x:c r="A8" s="9"/>
      <x:c r="B8" s="9"/>
      <x:c r="C8" s="9"/>
    </x:row>
    <x:row r="9">
      <x:c r="A9" s="9"/>
      <x:c r="B9" s="9"/>
      <x:c r="C9" s="9"/>
    </x:row>
    <x:row r="10" ht="32" customHeight="1">
      <x:c r="A10" s="8" t="str">
        <x:v>Reference</x:v>
      </x:c>
      <x:c r="B10" s="8" t="str">
        <x:v>Value</x:v>
      </x:c>
      <x:c r="C10" s="8" t="str">
        <x:v>Calculation / convention</x:v>
      </x:c>
    </x:row>
    <x:row r="11">
      <x:c r="A11" s="9" t="str">
        <x:v>Pieces</x:v>
      </x:c>
      <x:c r="B11" s="9" t="n">
        <x:v>2</x:v>
      </x:c>
      <x:c r="C11" s="9" t="str">
        <x:v>TD-01 quantity</x:v>
      </x:c>
    </x:row>
    <x:row r="12">
      <x:c r="A12" s="9" t="str">
        <x:v>Length (in)</x:v>
      </x:c>
      <x:c r="B12" s="9" t="n">
        <x:v>48</x:v>
      </x:c>
      <x:c r="C12" s="9" t="str">
        <x:v>Per piece</x:v>
      </x:c>
    </x:row>
    <x:row r="13">
      <x:c r="A13" s="9" t="str">
        <x:v>Width (in)</x:v>
      </x:c>
      <x:c r="B13" s="9" t="n">
        <x:v>40</x:v>
      </x:c>
      <x:c r="C13" s="9" t="str">
        <x:v>Per piece</x:v>
      </x:c>
    </x:row>
    <x:row r="14">
      <x:c r="A14" s="9" t="str">
        <x:v>Height (in)</x:v>
      </x:c>
      <x:c r="B14" s="9" t="n">
        <x:v>45</x:v>
      </x:c>
      <x:c r="C14" s="9" t="str">
        <x:v>Per piece</x:v>
      </x:c>
    </x:row>
    <x:row r="15">
      <x:c r="A15" s="9" t="str">
        <x:v>Gross weight (lb)</x:v>
      </x:c>
      <x:c r="B15" s="9" t="n">
        <x:v>1150</x:v>
      </x:c>
      <x:c r="C15" s="9" t="str">
        <x:v>Total row weight in gross mode</x:v>
      </x:c>
    </x:row>
    <x:row r="16" ht="48" customHeight="1">
      <x:c r="A16" s="9" t="str">
        <x:v>Cubic inches per lb</x:v>
      </x:c>
      <x:c r="B16" s="9" t="n">
        <x:v>366</x:v>
      </x:c>
      <x:c r="C16" s="9" t="str">
        <x:v>Current prototype divisor; not a universal carrier rule</x:v>
      </x:c>
    </x:row>
    <x:row r="17">
      <x:c r="A17" s="9" t="str">
        <x:v>lb per kg</x:v>
      </x:c>
      <x:c r="B17" s="9" t="n">
        <x:v>2.20462262</x:v>
      </x:c>
      <x:c r="C17" s="9" t="str">
        <x:v>Current prototype conversion</x:v>
      </x:c>
    </x:row>
    <x:row r="18">
      <x:c r="A18" s="9"/>
      <x:c r="B18" s="9"/>
      <x:c r="C18" s="9"/>
    </x:row>
    <x:row r="19">
      <x:c r="A19" s="9" t="str">
        <x:v>Volume weight (lb)</x:v>
      </x:c>
      <x:c r="B19" s="15" t="n">
        <x:f>B11*B12*B13*B14/B16</x:f>
        <x:v>472.1311475409836</x:v>
      </x:c>
      <x:c r="C19" s="9"/>
    </x:row>
    <x:row r="20">
      <x:c r="A20" s="9" t="str">
        <x:v>Chargeable weight (kg)</x:v>
      </x:c>
      <x:c r="B20" s="15" t="n">
        <x:f>MAX(B15,B19)/B17</x:f>
        <x:v>521.631225937435</x:v>
      </x:c>
      <x:c r="C20" s="9"/>
    </x:row>
    <x:row r="21" ht="48" customHeight="1">
      <x:c r="A21" s="9" t="str">
        <x:v>Rounding tolerance</x:v>
      </x:c>
      <x:c r="B21" s="15" t="n">
        <x:v>0.1</x:v>
      </x:c>
      <x:c r="C21" s="9" t="str">
        <x:v>Use displayed one-decimal totals; cost comparisons allow USD 0.02 for summed rounded components.</x:v>
      </x:c>
    </x:row>
    <x:row r="22">
      <x:c r="A22" s="9"/>
      <x:c r="B22" s="9"/>
      <x:c r="C22" s="9"/>
    </x:row>
    <x:row r="23">
      <x:c r="A23" s="9"/>
      <x:c r="B23" s="9"/>
      <x:c r="C23" s="9"/>
    </x:row>
    <x:row r="24" ht="48" customHeight="1">
      <x:c r="A24" s="9" t="str">
        <x:v>Scope notes</x:v>
      </x:c>
      <x:c r="B24" s="9" t="str">
        <x:v>Browser history stores demo bookings; the API stores shipments.</x:v>
      </x:c>
      <x:c r="C24" s="9" t="str">
        <x:v>Do not treat these as the same record list.</x:v>
      </x:c>
    </x:row>
    <x:row r="25">
      <x:c r="A25" s="9"/>
      <x:c r="B25" s="9"/>
      <x:c r="C25" s="9"/>
    </x:row>
    <x:row r="26" ht="48" customHeight="1">
      <x:c r="A26" s="9" t="str">
        <x:v>Sources</x:v>
      </x:c>
      <x:c r="B26" s="9" t="str">
        <x:v>AeroCargo Python app: server.py, shipment_importer.py, app.js, README.md.</x:v>
      </x:c>
      <x:c r="C26" s="9" t="str">
        <x:v>Test design based on current prototype behavior and user-requested importer workflow.</x:v>
      </x:c>
    </x:row>
    <x:row r="27">
      <x:c r="A27" s="9"/>
      <x:c r="B27" s="9"/>
      <x:c r="C27" s="9"/>
    </x:row>
    <x:row r="28">
      <x:c r="A28" s="9"/>
      <x:c r="B28" s="9"/>
      <x:c r="C28" s="9"/>
    </x:row>
    <x:row r="29">
      <x:c r="A29" s="9"/>
      <x:c r="B29" s="9"/>
      <x:c r="C29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5" hidden="0" customWidth="1"/>
    <x:col min="4" max="4" width="52" hidden="0" customWidth="1"/>
    <x:col min="5" max="5" width="45" hidden="0" customWidth="1"/>
    <x:col min="6" max="6" width="45" hidden="0" customWidth="1"/>
    <x:col min="7" max="7" width="16" hidden="0" customWidth="1"/>
    <x:col min="8" max="8" width="20" hidden="0" customWidth="1"/>
    <x:col min="9" max="9" width="24" hidden="0" customWidth="1"/>
    <x:col min="10" max="10" width="34" hidden="0" customWidth="1"/>
    <x:col min="11" max="11" width="35" hidden="0" customWidth="1"/>
    <x:col min="12" max="12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UAT defect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Blank log: enter only observed issues. Link each issue to its UAT ID and capture retest evidence.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Defect ID</x:v>
      </x:c>
      <x:c r="B5" s="8" t="str">
        <x:v>UAT ID</x:v>
      </x:c>
      <x:c r="C5" s="8" t="str">
        <x:v>Issue title</x:v>
      </x:c>
      <x:c r="D5" s="8" t="str">
        <x:v>Reproduction steps</x:v>
      </x:c>
      <x:c r="E5" s="8" t="str">
        <x:v>Expected result</x:v>
      </x:c>
      <x:c r="F5" s="8" t="str">
        <x:v>Actual result</x:v>
      </x:c>
      <x:c r="G5" s="8" t="str">
        <x:v>Severity</x:v>
      </x:c>
      <x:c r="H5" s="8" t="str">
        <x:v>Status</x:v>
      </x:c>
      <x:c r="I5" s="8" t="str">
        <x:v>Owner</x:v>
      </x:c>
      <x:c r="J5" s="8" t="str">
        <x:v>Evidence</x:v>
      </x:c>
      <x:c r="K5" s="8" t="str">
        <x:v>Retest result</x:v>
      </x:c>
      <x:c r="L5" s="8" t="str">
        <x:v>Resolution / accepted exception</x:v>
      </x:c>
    </x:row>
    <x:row r="6" ht="65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</x:row>
    <x:row r="7" ht="65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</x:row>
    <x:row r="8" ht="65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</x:row>
    <x:row r="9" ht="65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</x:row>
    <x:row r="10" ht="65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</x:row>
    <x:row r="11" ht="65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 ht="65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</x:row>
    <x:row r="13" ht="65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</x:row>
    <x:row r="14" ht="65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</x:row>
    <x:row r="15" ht="65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</x:sheetData>
  <x:dataValidations count="2">
    <x:dataValidation type="list" sqref="G6:G15">
      <x:formula1>"Critical,High,Medium,Low"</x:formula1>
    </x:dataValidation>
    <x:dataValidation type="list" sqref="H6:H15">
      <x:formula1>"Open,In Progress,Ready for Retest,Closed,Accepted Exception"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07782d069b430c"/>
  </x:tableParts>
</x:worksheet>
</file>